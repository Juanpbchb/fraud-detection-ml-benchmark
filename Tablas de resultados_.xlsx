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d14933772bc125a2/Desktop/Vscode/repositorio-personal/IA-Detector-de-fraudes/"/>
    </mc:Choice>
  </mc:AlternateContent>
  <xr:revisionPtr revIDLastSave="1" documentId="11_81CA03C50FD950E86CF5575362F0E6B61A1FBE32" xr6:coauthVersionLast="47" xr6:coauthVersionMax="47" xr10:uidLastSave="{52E2DCBD-F4F8-4E19-91A0-FD235A123E45}"/>
  <bookViews>
    <workbookView xWindow="-120" yWindow="-120" windowWidth="20730" windowHeight="11040" xr2:uid="{00000000-000D-0000-FFFF-FFFF00000000}"/>
  </bookViews>
  <sheets>
    <sheet name="Supervisado" sheetId="1" r:id="rId1"/>
    <sheet name="graficas supervisado" sheetId="2" r:id="rId2"/>
    <sheet name="NO SUPERVISAD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2" l="1"/>
  <c r="D74" i="2"/>
  <c r="C74" i="2"/>
  <c r="B74" i="2"/>
  <c r="E73" i="2"/>
  <c r="D73" i="2"/>
  <c r="C73" i="2"/>
  <c r="B73" i="2"/>
  <c r="E50" i="2"/>
  <c r="D50" i="2"/>
  <c r="C50" i="2"/>
  <c r="B50" i="2"/>
  <c r="E49" i="2"/>
  <c r="D49" i="2"/>
  <c r="C49" i="2"/>
  <c r="B49" i="2"/>
  <c r="E26" i="2"/>
  <c r="D26" i="2"/>
  <c r="C26" i="2"/>
  <c r="B26" i="2"/>
  <c r="E25" i="2"/>
  <c r="D25" i="2"/>
  <c r="C25" i="2"/>
  <c r="B25" i="2"/>
  <c r="E3" i="2"/>
  <c r="D3" i="2"/>
  <c r="C3" i="2"/>
  <c r="B3" i="2"/>
</calcChain>
</file>

<file path=xl/sharedStrings.xml><?xml version="1.0" encoding="utf-8"?>
<sst xmlns="http://schemas.openxmlformats.org/spreadsheetml/2006/main" count="105" uniqueCount="31">
  <si>
    <t>K-MEANS</t>
  </si>
  <si>
    <t xml:space="preserve">ARBOLES DE DECISIÓN </t>
  </si>
  <si>
    <t>DBSCAN</t>
  </si>
  <si>
    <t>#</t>
  </si>
  <si>
    <t>Normalización</t>
  </si>
  <si>
    <t>OUTLIERS</t>
  </si>
  <si>
    <t>BALANCEO</t>
  </si>
  <si>
    <t>inertia</t>
  </si>
  <si>
    <t>silhouette score</t>
  </si>
  <si>
    <t>CC(SI) y ED(NO)</t>
  </si>
  <si>
    <t>NO</t>
  </si>
  <si>
    <t xml:space="preserve">K VECINOS MÁS CERCANOS (KNN) </t>
  </si>
  <si>
    <t>SI</t>
  </si>
  <si>
    <t xml:space="preserve">MÁQUINAS DE VECTORES DE SOPORTE (SVM) </t>
  </si>
  <si>
    <t>CC(SI) y ED(SI)</t>
  </si>
  <si>
    <t xml:space="preserve">REDES NEURONALES </t>
  </si>
  <si>
    <t>ACCURACY</t>
  </si>
  <si>
    <t>PRECISION</t>
  </si>
  <si>
    <t>RECALL</t>
  </si>
  <si>
    <t>F1-SCORE</t>
  </si>
  <si>
    <t xml:space="preserve"> ACCURACY</t>
  </si>
  <si>
    <t xml:space="preserve"> RECALL</t>
  </si>
  <si>
    <t xml:space="preserve"> F1-SCORE</t>
  </si>
  <si>
    <t>Tabla de diagramas</t>
  </si>
  <si>
    <t>F1-score MAX</t>
  </si>
  <si>
    <t>F1-score medio (Sin ED)</t>
  </si>
  <si>
    <t>F1-score medio (Con ED)</t>
  </si>
  <si>
    <t>F1-score medio (Sin Outlier)</t>
  </si>
  <si>
    <t>F1-score medio (Con Outlier)</t>
  </si>
  <si>
    <t>F1-score medio (Desbalanceado)</t>
  </si>
  <si>
    <t>F1-score medio (Balanceado)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</si>
</sst>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"/>
    <numFmt numFmtId="165" formatCode="0.0000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b/>
      <sz val="11"/>
      <color rgb="FF00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361A1"/>
        <bgColor rgb="FFE361A1"/>
      </patternFill>
    </fill>
    <fill>
      <patternFill patternType="solid">
        <fgColor rgb="FF9FC5E8"/>
        <bgColor rgb="FF9FC5E8"/>
      </patternFill>
    </fill>
    <fill>
      <patternFill patternType="solid">
        <fgColor rgb="FFBDBDBD"/>
        <bgColor rgb="FFBDBDBD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3" fillId="3" borderId="3" xfId="0" applyFont="1" applyFill="1" applyBorder="1" applyAlignment="1">
      <alignment horizontal="center" vertical="top"/>
    </xf>
    <xf numFmtId="0" fontId="3" fillId="3" borderId="4" xfId="0" applyFont="1" applyFill="1" applyBorder="1" applyAlignment="1">
      <alignment horizontal="center" vertical="top"/>
    </xf>
    <xf numFmtId="0" fontId="4" fillId="0" borderId="4" xfId="0" applyFont="1" applyBorder="1" applyAlignment="1">
      <alignment horizontal="right"/>
    </xf>
    <xf numFmtId="0" fontId="4" fillId="0" borderId="4" xfId="0" applyFont="1" applyBorder="1"/>
    <xf numFmtId="164" fontId="4" fillId="0" borderId="4" xfId="0" applyNumberFormat="1" applyFont="1" applyBorder="1"/>
    <xf numFmtId="2" fontId="4" fillId="0" borderId="4" xfId="0" applyNumberFormat="1" applyFont="1" applyBorder="1"/>
    <xf numFmtId="165" fontId="4" fillId="0" borderId="4" xfId="0" applyNumberFormat="1" applyFont="1" applyBorder="1"/>
    <xf numFmtId="0" fontId="1" fillId="0" borderId="0" xfId="0" applyFont="1"/>
    <xf numFmtId="0" fontId="1" fillId="0" borderId="4" xfId="0" applyFont="1" applyBorder="1"/>
    <xf numFmtId="10" fontId="1" fillId="0" borderId="4" xfId="0" applyNumberFormat="1" applyFont="1" applyBorder="1"/>
    <xf numFmtId="0" fontId="1" fillId="2" borderId="1" xfId="0" applyFont="1" applyFill="1" applyBorder="1" applyAlignment="1">
      <alignment horizontal="center"/>
    </xf>
    <xf numFmtId="0" fontId="2" fillId="4" borderId="5" xfId="0" applyFont="1" applyFill="1" applyBorder="1"/>
    <xf numFmtId="0" fontId="2" fillId="4" borderId="2" xfId="0" applyFont="1" applyFill="1" applyBorder="1"/>
    <xf numFmtId="0" fontId="1" fillId="0" borderId="0" xfId="0" applyFont="1"/>
    <xf numFmtId="0" fontId="0" fillId="0" borderId="0" xfId="0"/>
    <xf numFmtId="0" fontId="1" fillId="2" borderId="1" xfId="0" applyFont="1" applyFill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MX" b="0">
                <a:solidFill>
                  <a:srgbClr val="757575"/>
                </a:solidFill>
                <a:latin typeface="+mn-lt"/>
              </a:rPr>
              <a:t>Diagrama de barras con el F1-Score máximo por algoritmo(general)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'graficas supervisado'!$A$3</c:f>
              <c:strCache>
                <c:ptCount val="1"/>
                <c:pt idx="0">
                  <c:v>F1-score MAX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'graficas supervisado'!$B$2:$E$2</c:f>
              <c:strCache>
                <c:ptCount val="4"/>
                <c:pt idx="0">
                  <c:v>ARBOLES DE DECISIÓN </c:v>
                </c:pt>
                <c:pt idx="1">
                  <c:v>K VECINOS MÁS CERCANOS (KNN) </c:v>
                </c:pt>
                <c:pt idx="2">
                  <c:v>MÁQUINAS DE VECTORES DE SOPORTE (SVM) </c:v>
                </c:pt>
                <c:pt idx="3">
                  <c:v>REDES NEURONALES </c:v>
                </c:pt>
              </c:strCache>
            </c:strRef>
          </c:cat>
          <c:val>
            <c:numRef>
              <c:f>'graficas supervisado'!$B$3:$E$3</c:f>
              <c:numCache>
                <c:formatCode>0.00%</c:formatCode>
                <c:ptCount val="4"/>
                <c:pt idx="0">
                  <c:v>0.98</c:v>
                </c:pt>
                <c:pt idx="1">
                  <c:v>0.99860000000000004</c:v>
                </c:pt>
                <c:pt idx="2">
                  <c:v>0.92</c:v>
                </c:pt>
                <c:pt idx="3">
                  <c:v>0.99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93-4236-9B0F-76B69E99C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1797676"/>
        <c:axId val="2106742705"/>
      </c:barChart>
      <c:catAx>
        <c:axId val="5317976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2106742705"/>
        <c:crosses val="autoZero"/>
        <c:auto val="1"/>
        <c:lblAlgn val="ctr"/>
        <c:lblOffset val="100"/>
        <c:noMultiLvlLbl val="1"/>
      </c:catAx>
      <c:valAx>
        <c:axId val="21067427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MX" b="0">
                    <a:solidFill>
                      <a:srgbClr val="000000"/>
                    </a:solidFill>
                    <a:latin typeface="+mn-lt"/>
                  </a:rPr>
                  <a:t>F1-score MAX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53179767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MX" b="0">
                <a:solidFill>
                  <a:srgbClr val="757575"/>
                </a:solidFill>
                <a:latin typeface="+mn-lt"/>
              </a:rPr>
              <a:t>Diagrama de barras con el F1-Score medio por normalización y algoritmo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'graficas supervisado'!$A$25</c:f>
              <c:strCache>
                <c:ptCount val="1"/>
                <c:pt idx="0">
                  <c:v>F1-score medio (Sin ED)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'graficas supervisado'!$B$24:$E$24</c:f>
              <c:strCache>
                <c:ptCount val="4"/>
                <c:pt idx="0">
                  <c:v>ARBOLES DE DECISIÓN </c:v>
                </c:pt>
                <c:pt idx="1">
                  <c:v>K VECINOS MÁS CERCANOS (KNN) </c:v>
                </c:pt>
                <c:pt idx="2">
                  <c:v>MÁQUINAS DE VECTORES DE SOPORTE (SVM) </c:v>
                </c:pt>
                <c:pt idx="3">
                  <c:v>REDES NEURONALES </c:v>
                </c:pt>
              </c:strCache>
            </c:strRef>
          </c:cat>
          <c:val>
            <c:numRef>
              <c:f>'graficas supervisado'!$B$25:$E$25</c:f>
              <c:numCache>
                <c:formatCode>0.00%</c:formatCode>
                <c:ptCount val="4"/>
                <c:pt idx="0">
                  <c:v>0.64999999999999991</c:v>
                </c:pt>
                <c:pt idx="1">
                  <c:v>0.98397500000000004</c:v>
                </c:pt>
                <c:pt idx="2">
                  <c:v>0.8175</c:v>
                </c:pt>
                <c:pt idx="3">
                  <c:v>0.82499999999999996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79-4DB9-803D-C1C8C9C248E1}"/>
            </c:ext>
          </c:extLst>
        </c:ser>
        <c:ser>
          <c:idx val="1"/>
          <c:order val="1"/>
          <c:tx>
            <c:strRef>
              <c:f>'graficas supervisado'!$A$26</c:f>
              <c:strCache>
                <c:ptCount val="1"/>
                <c:pt idx="0">
                  <c:v>F1-score medio (Con ED)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'graficas supervisado'!$B$24:$E$24</c:f>
              <c:strCache>
                <c:ptCount val="4"/>
                <c:pt idx="0">
                  <c:v>ARBOLES DE DECISIÓN </c:v>
                </c:pt>
                <c:pt idx="1">
                  <c:v>K VECINOS MÁS CERCANOS (KNN) </c:v>
                </c:pt>
                <c:pt idx="2">
                  <c:v>MÁQUINAS DE VECTORES DE SOPORTE (SVM) </c:v>
                </c:pt>
                <c:pt idx="3">
                  <c:v>REDES NEURONALES </c:v>
                </c:pt>
              </c:strCache>
            </c:strRef>
          </c:cat>
          <c:val>
            <c:numRef>
              <c:f>'graficas supervisado'!$B$26:$E$26</c:f>
              <c:numCache>
                <c:formatCode>0.00%</c:formatCode>
                <c:ptCount val="4"/>
                <c:pt idx="0">
                  <c:v>0.64500000000000002</c:v>
                </c:pt>
                <c:pt idx="1">
                  <c:v>0.98310000000000008</c:v>
                </c:pt>
                <c:pt idx="2">
                  <c:v>0.83000000000000007</c:v>
                </c:pt>
                <c:pt idx="3">
                  <c:v>0.82499999999999996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79-4DB9-803D-C1C8C9C24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175881"/>
        <c:axId val="2092581523"/>
      </c:barChart>
      <c:catAx>
        <c:axId val="601758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2092581523"/>
        <c:crosses val="autoZero"/>
        <c:auto val="1"/>
        <c:lblAlgn val="ctr"/>
        <c:lblOffset val="100"/>
        <c:noMultiLvlLbl val="1"/>
      </c:catAx>
      <c:valAx>
        <c:axId val="20925815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6017588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Diagrama de barras con el F1-Score medio por manejo de datos atípicos
y algoritmo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'graficas supervisado'!$A$49</c:f>
              <c:strCache>
                <c:ptCount val="1"/>
                <c:pt idx="0">
                  <c:v>F1-score medio (Sin Outlier)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'graficas supervisado'!$B$48:$E$48</c:f>
              <c:strCache>
                <c:ptCount val="4"/>
                <c:pt idx="0">
                  <c:v>ARBOLES DE DECISIÓN </c:v>
                </c:pt>
                <c:pt idx="1">
                  <c:v>K VECINOS MÁS CERCANOS (KNN) </c:v>
                </c:pt>
                <c:pt idx="2">
                  <c:v>MÁQUINAS DE VECTORES DE SOPORTE (SVM) </c:v>
                </c:pt>
                <c:pt idx="3">
                  <c:v>REDES NEURONALES </c:v>
                </c:pt>
              </c:strCache>
            </c:strRef>
          </c:cat>
          <c:val>
            <c:numRef>
              <c:f>'graficas supervisado'!$B$49:$E$49</c:f>
              <c:numCache>
                <c:formatCode>0.00%</c:formatCode>
                <c:ptCount val="4"/>
                <c:pt idx="0">
                  <c:v>0.59749999999999992</c:v>
                </c:pt>
                <c:pt idx="1">
                  <c:v>0.99637500000000012</c:v>
                </c:pt>
                <c:pt idx="2">
                  <c:v>0.90500000000000003</c:v>
                </c:pt>
                <c:pt idx="3">
                  <c:v>0.87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8C-4576-9D61-503A7A11F47E}"/>
            </c:ext>
          </c:extLst>
        </c:ser>
        <c:ser>
          <c:idx val="1"/>
          <c:order val="1"/>
          <c:tx>
            <c:strRef>
              <c:f>'graficas supervisado'!$A$50</c:f>
              <c:strCache>
                <c:ptCount val="1"/>
                <c:pt idx="0">
                  <c:v>F1-score medio (Con Outlier)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'graficas supervisado'!$B$48:$E$48</c:f>
              <c:strCache>
                <c:ptCount val="4"/>
                <c:pt idx="0">
                  <c:v>ARBOLES DE DECISIÓN </c:v>
                </c:pt>
                <c:pt idx="1">
                  <c:v>K VECINOS MÁS CERCANOS (KNN) </c:v>
                </c:pt>
                <c:pt idx="2">
                  <c:v>MÁQUINAS DE VECTORES DE SOPORTE (SVM) </c:v>
                </c:pt>
                <c:pt idx="3">
                  <c:v>REDES NEURONALES </c:v>
                </c:pt>
              </c:strCache>
            </c:strRef>
          </c:cat>
          <c:val>
            <c:numRef>
              <c:f>'graficas supervisado'!$B$50:$E$50</c:f>
              <c:numCache>
                <c:formatCode>0.00%</c:formatCode>
                <c:ptCount val="4"/>
                <c:pt idx="0">
                  <c:v>0.69750000000000001</c:v>
                </c:pt>
                <c:pt idx="1">
                  <c:v>0.97070000000000012</c:v>
                </c:pt>
                <c:pt idx="2">
                  <c:v>0.74249999999999994</c:v>
                </c:pt>
                <c:pt idx="3">
                  <c:v>0.77999999999999992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8C-4576-9D61-503A7A11F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4922720"/>
        <c:axId val="362334994"/>
      </c:barChart>
      <c:catAx>
        <c:axId val="314922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362334994"/>
        <c:crosses val="autoZero"/>
        <c:auto val="1"/>
        <c:lblAlgn val="ctr"/>
        <c:lblOffset val="100"/>
        <c:noMultiLvlLbl val="1"/>
      </c:catAx>
      <c:valAx>
        <c:axId val="3623349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31492272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Diagrama de barras con el F1-Score medio por balanceo y algoritmo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'graficas supervisado'!$A$73</c:f>
              <c:strCache>
                <c:ptCount val="1"/>
                <c:pt idx="0">
                  <c:v>F1-score medio (Desbalanceado)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'graficas supervisado'!$B$72:$E$72</c:f>
              <c:strCache>
                <c:ptCount val="4"/>
                <c:pt idx="0">
                  <c:v>ARBOLES DE DECISIÓN </c:v>
                </c:pt>
                <c:pt idx="1">
                  <c:v>K VECINOS MÁS CERCANOS (KNN) </c:v>
                </c:pt>
                <c:pt idx="2">
                  <c:v>MÁQUINAS DE VECTORES DE SOPORTE (SVM) </c:v>
                </c:pt>
                <c:pt idx="3">
                  <c:v>REDES NEURONALES </c:v>
                </c:pt>
              </c:strCache>
            </c:strRef>
          </c:cat>
          <c:val>
            <c:numRef>
              <c:f>'graficas supervisado'!$B$73:$E$73</c:f>
              <c:numCache>
                <c:formatCode>0.00%</c:formatCode>
                <c:ptCount val="4"/>
                <c:pt idx="0">
                  <c:v>0.3175</c:v>
                </c:pt>
                <c:pt idx="1">
                  <c:v>0.98380000000000001</c:v>
                </c:pt>
                <c:pt idx="2">
                  <c:v>0.83000000000000007</c:v>
                </c:pt>
                <c:pt idx="3">
                  <c:v>0.99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85-401E-9D60-C1370314844D}"/>
            </c:ext>
          </c:extLst>
        </c:ser>
        <c:ser>
          <c:idx val="1"/>
          <c:order val="1"/>
          <c:tx>
            <c:strRef>
              <c:f>'graficas supervisado'!$A$74</c:f>
              <c:strCache>
                <c:ptCount val="1"/>
                <c:pt idx="0">
                  <c:v>F1-score medio (Balanceado)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'graficas supervisado'!$B$72:$E$72</c:f>
              <c:strCache>
                <c:ptCount val="4"/>
                <c:pt idx="0">
                  <c:v>ARBOLES DE DECISIÓN </c:v>
                </c:pt>
                <c:pt idx="1">
                  <c:v>K VECINOS MÁS CERCANOS (KNN) </c:v>
                </c:pt>
                <c:pt idx="2">
                  <c:v>MÁQUINAS DE VECTORES DE SOPORTE (SVM) </c:v>
                </c:pt>
                <c:pt idx="3">
                  <c:v>REDES NEURONALES </c:v>
                </c:pt>
              </c:strCache>
            </c:strRef>
          </c:cat>
          <c:val>
            <c:numRef>
              <c:f>'graficas supervisado'!$B$74:$E$74</c:f>
              <c:numCache>
                <c:formatCode>0.00%</c:formatCode>
                <c:ptCount val="4"/>
                <c:pt idx="0">
                  <c:v>0.97749999999999992</c:v>
                </c:pt>
                <c:pt idx="1">
                  <c:v>0.98327500000000012</c:v>
                </c:pt>
                <c:pt idx="2">
                  <c:v>0.81749999999999989</c:v>
                </c:pt>
                <c:pt idx="3">
                  <c:v>0.65999999999999992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85-401E-9D60-C13703148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4021494"/>
        <c:axId val="1501441820"/>
      </c:barChart>
      <c:catAx>
        <c:axId val="9240214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501441820"/>
        <c:crosses val="autoZero"/>
        <c:auto val="1"/>
        <c:lblAlgn val="ctr"/>
        <c:lblOffset val="100"/>
        <c:noMultiLvlLbl val="1"/>
      </c:catAx>
      <c:valAx>
        <c:axId val="15014418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92402149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419100</xdr:colOff>
      <xdr:row>3</xdr:row>
      <xdr:rowOff>66675</xdr:rowOff>
    </xdr:from>
    <xdr:ext cx="5715000" cy="35337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200025</xdr:colOff>
      <xdr:row>27</xdr:row>
      <xdr:rowOff>123825</xdr:rowOff>
    </xdr:from>
    <xdr:ext cx="5715000" cy="3533775"/>
    <xdr:graphicFrame macro="">
      <xdr:nvGraphicFramePr>
        <xdr:cNvPr id="3" name="Chart 2" title="Gráfic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95250</xdr:colOff>
      <xdr:row>50</xdr:row>
      <xdr:rowOff>152400</xdr:rowOff>
    </xdr:from>
    <xdr:ext cx="5715000" cy="3533775"/>
    <xdr:graphicFrame macro="">
      <xdr:nvGraphicFramePr>
        <xdr:cNvPr id="4" name="Chart 3" title="Gráfic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257175</xdr:colOff>
      <xdr:row>74</xdr:row>
      <xdr:rowOff>104775</xdr:rowOff>
    </xdr:from>
    <xdr:ext cx="5715000" cy="3533775"/>
    <xdr:graphicFrame macro="">
      <xdr:nvGraphicFramePr>
        <xdr:cNvPr id="5" name="Chart 4" title="Gráfic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0"/>
  <sheetViews>
    <sheetView tabSelected="1" workbookViewId="0"/>
  </sheetViews>
  <sheetFormatPr baseColWidth="10" defaultColWidth="12.5703125" defaultRowHeight="15.75" customHeight="1" x14ac:dyDescent="0.2"/>
  <cols>
    <col min="14" max="14" width="11.42578125" customWidth="1"/>
    <col min="15" max="15" width="11.7109375" customWidth="1"/>
    <col min="16" max="16" width="10.42578125" customWidth="1"/>
  </cols>
  <sheetData>
    <row r="1" spans="1:20" x14ac:dyDescent="0.2">
      <c r="E1" s="12" t="s">
        <v>1</v>
      </c>
      <c r="F1" s="13"/>
      <c r="G1" s="13"/>
      <c r="H1" s="14"/>
      <c r="I1" s="12" t="s">
        <v>11</v>
      </c>
      <c r="J1" s="13"/>
      <c r="K1" s="13"/>
      <c r="L1" s="14"/>
      <c r="M1" s="12" t="s">
        <v>13</v>
      </c>
      <c r="N1" s="13"/>
      <c r="O1" s="13"/>
      <c r="P1" s="14"/>
      <c r="Q1" s="12" t="s">
        <v>15</v>
      </c>
      <c r="R1" s="13"/>
      <c r="S1" s="13"/>
      <c r="T1" s="14"/>
    </row>
    <row r="2" spans="1:20" x14ac:dyDescent="0.2">
      <c r="A2" s="2" t="s">
        <v>3</v>
      </c>
      <c r="B2" s="2" t="s">
        <v>4</v>
      </c>
      <c r="C2" s="2" t="s">
        <v>5</v>
      </c>
      <c r="D2" s="2" t="s">
        <v>6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17</v>
      </c>
      <c r="K2" s="3" t="s">
        <v>21</v>
      </c>
      <c r="L2" s="3" t="s">
        <v>19</v>
      </c>
      <c r="M2" s="3" t="s">
        <v>20</v>
      </c>
      <c r="N2" s="3" t="s">
        <v>17</v>
      </c>
      <c r="O2" s="3" t="s">
        <v>21</v>
      </c>
      <c r="P2" s="3" t="s">
        <v>19</v>
      </c>
      <c r="Q2" s="3" t="s">
        <v>16</v>
      </c>
      <c r="R2" s="3" t="s">
        <v>17</v>
      </c>
      <c r="S2" s="3" t="s">
        <v>21</v>
      </c>
      <c r="T2" s="3" t="s">
        <v>22</v>
      </c>
    </row>
    <row r="3" spans="1:20" ht="15.75" customHeight="1" x14ac:dyDescent="0.25">
      <c r="A3" s="4">
        <v>1</v>
      </c>
      <c r="B3" s="5" t="s">
        <v>9</v>
      </c>
      <c r="C3" s="5" t="s">
        <v>10</v>
      </c>
      <c r="D3" s="5" t="s">
        <v>10</v>
      </c>
      <c r="E3" s="5">
        <v>0.97</v>
      </c>
      <c r="F3" s="5">
        <v>0.21</v>
      </c>
      <c r="G3" s="5">
        <v>0.4</v>
      </c>
      <c r="H3" s="5">
        <v>0.22</v>
      </c>
      <c r="I3" s="7">
        <v>0.99880000000000002</v>
      </c>
      <c r="J3" s="8">
        <v>0.99850000000000005</v>
      </c>
      <c r="K3" s="8">
        <v>0.99880000000000002</v>
      </c>
      <c r="L3" s="8">
        <v>0.99860000000000004</v>
      </c>
      <c r="M3" s="5">
        <v>0.91</v>
      </c>
      <c r="N3" s="5">
        <v>0.87</v>
      </c>
      <c r="O3" s="5">
        <v>0.91</v>
      </c>
      <c r="P3" s="5">
        <v>0.89</v>
      </c>
      <c r="Q3" s="5">
        <v>0.99</v>
      </c>
      <c r="R3" s="5">
        <v>0.99</v>
      </c>
      <c r="S3" s="5">
        <v>0.99</v>
      </c>
      <c r="T3" s="5">
        <v>0.99</v>
      </c>
    </row>
    <row r="4" spans="1:20" ht="15.75" customHeight="1" x14ac:dyDescent="0.25">
      <c r="A4" s="4">
        <v>2</v>
      </c>
      <c r="B4" s="5" t="s">
        <v>9</v>
      </c>
      <c r="C4" s="5" t="s">
        <v>10</v>
      </c>
      <c r="D4" s="5" t="s">
        <v>12</v>
      </c>
      <c r="E4" s="5">
        <v>0.98</v>
      </c>
      <c r="F4" s="5">
        <v>0.98</v>
      </c>
      <c r="G4" s="5">
        <v>0.98</v>
      </c>
      <c r="H4" s="5">
        <v>0.98</v>
      </c>
      <c r="I4" s="7">
        <v>0.99670000000000003</v>
      </c>
      <c r="J4" s="8">
        <v>0.995</v>
      </c>
      <c r="K4" s="8">
        <v>0.99670000000000003</v>
      </c>
      <c r="L4" s="8">
        <v>0.99560000000000004</v>
      </c>
      <c r="M4" s="5">
        <v>0.92</v>
      </c>
      <c r="N4" s="5">
        <v>0.93</v>
      </c>
      <c r="O4" s="5">
        <v>0.92</v>
      </c>
      <c r="P4" s="5">
        <v>0.92</v>
      </c>
      <c r="Q4" s="5">
        <v>0.75</v>
      </c>
      <c r="R4" s="5">
        <v>0.77</v>
      </c>
      <c r="S4" s="5">
        <v>0.75</v>
      </c>
      <c r="T4" s="5">
        <v>0.75</v>
      </c>
    </row>
    <row r="5" spans="1:20" ht="15.75" customHeight="1" x14ac:dyDescent="0.25">
      <c r="A5" s="4">
        <v>3</v>
      </c>
      <c r="B5" s="5" t="s">
        <v>9</v>
      </c>
      <c r="C5" s="5" t="s">
        <v>12</v>
      </c>
      <c r="D5" s="5" t="s">
        <v>10</v>
      </c>
      <c r="E5" s="5">
        <v>0.98</v>
      </c>
      <c r="F5" s="5">
        <v>0.34</v>
      </c>
      <c r="G5" s="5">
        <v>0.8</v>
      </c>
      <c r="H5" s="5">
        <v>0.42</v>
      </c>
      <c r="I5" s="7">
        <v>0.96830000000000005</v>
      </c>
      <c r="J5" s="8">
        <v>0.96840000000000004</v>
      </c>
      <c r="K5" s="8">
        <v>0.96830000000000005</v>
      </c>
      <c r="L5" s="8">
        <v>0.96840000000000004</v>
      </c>
      <c r="M5" s="5">
        <v>0.81</v>
      </c>
      <c r="N5" s="5">
        <v>0.77</v>
      </c>
      <c r="O5" s="5">
        <v>0.82</v>
      </c>
      <c r="P5" s="5">
        <v>0.77</v>
      </c>
      <c r="Q5" s="5">
        <v>0.99</v>
      </c>
      <c r="R5" s="5">
        <v>0.99</v>
      </c>
      <c r="S5" s="5">
        <v>0.99</v>
      </c>
      <c r="T5" s="5">
        <v>0.99</v>
      </c>
    </row>
    <row r="6" spans="1:20" ht="15.75" customHeight="1" x14ac:dyDescent="0.25">
      <c r="A6" s="4">
        <v>4</v>
      </c>
      <c r="B6" s="5" t="s">
        <v>9</v>
      </c>
      <c r="C6" s="5" t="s">
        <v>12</v>
      </c>
      <c r="D6" s="5" t="s">
        <v>12</v>
      </c>
      <c r="E6" s="5">
        <v>0.97</v>
      </c>
      <c r="F6" s="5">
        <v>0.98</v>
      </c>
      <c r="G6" s="5">
        <v>0.98</v>
      </c>
      <c r="H6" s="5">
        <v>0.98</v>
      </c>
      <c r="I6" s="7">
        <v>0.97330000000000005</v>
      </c>
      <c r="J6" s="8">
        <v>0.97350000000000003</v>
      </c>
      <c r="K6" s="8">
        <v>0.97330000000000005</v>
      </c>
      <c r="L6" s="8">
        <v>0.97330000000000005</v>
      </c>
      <c r="M6" s="5">
        <v>0.71</v>
      </c>
      <c r="N6" s="5">
        <v>0.75</v>
      </c>
      <c r="O6" s="5">
        <v>0.71</v>
      </c>
      <c r="P6" s="5">
        <v>0.69</v>
      </c>
      <c r="Q6" s="5">
        <v>0.57999999999999996</v>
      </c>
      <c r="R6" s="5">
        <v>0.63</v>
      </c>
      <c r="S6" s="5">
        <v>0.57999999999999996</v>
      </c>
      <c r="T6" s="5">
        <v>0.56999999999999995</v>
      </c>
    </row>
    <row r="7" spans="1:20" ht="15.75" customHeight="1" x14ac:dyDescent="0.25">
      <c r="A7" s="4">
        <v>5</v>
      </c>
      <c r="B7" s="5" t="s">
        <v>14</v>
      </c>
      <c r="C7" s="5" t="s">
        <v>10</v>
      </c>
      <c r="D7" s="5" t="s">
        <v>10</v>
      </c>
      <c r="E7" s="5">
        <v>0.97</v>
      </c>
      <c r="F7" s="5">
        <v>0.21</v>
      </c>
      <c r="G7" s="5">
        <v>0.4</v>
      </c>
      <c r="H7" s="5">
        <v>0.22</v>
      </c>
      <c r="I7" s="7">
        <v>0.99750000000000005</v>
      </c>
      <c r="J7" s="8">
        <v>0.99580000000000002</v>
      </c>
      <c r="K7" s="8">
        <v>0.99750000000000005</v>
      </c>
      <c r="L7" s="8">
        <v>0.99650000000000005</v>
      </c>
      <c r="M7" s="5">
        <v>0.91</v>
      </c>
      <c r="N7" s="5">
        <v>0.87</v>
      </c>
      <c r="O7" s="5">
        <v>0.91</v>
      </c>
      <c r="P7" s="5">
        <v>0.89</v>
      </c>
      <c r="Q7" s="5">
        <v>0.99</v>
      </c>
      <c r="R7" s="5">
        <v>0.99</v>
      </c>
      <c r="S7" s="5">
        <v>0.99</v>
      </c>
      <c r="T7" s="5">
        <v>0.99</v>
      </c>
    </row>
    <row r="8" spans="1:20" ht="15.75" customHeight="1" x14ac:dyDescent="0.25">
      <c r="A8" s="4">
        <v>6</v>
      </c>
      <c r="B8" s="5" t="s">
        <v>14</v>
      </c>
      <c r="C8" s="5" t="s">
        <v>10</v>
      </c>
      <c r="D8" s="5" t="s">
        <v>12</v>
      </c>
      <c r="E8" s="5">
        <v>0.96</v>
      </c>
      <c r="F8" s="5">
        <v>0.97</v>
      </c>
      <c r="G8" s="5">
        <v>0.97</v>
      </c>
      <c r="H8" s="5">
        <v>0.97</v>
      </c>
      <c r="I8" s="7">
        <v>0.99629999999999996</v>
      </c>
      <c r="J8" s="8">
        <v>0.99339999999999995</v>
      </c>
      <c r="K8" s="8">
        <v>0.99629999999999996</v>
      </c>
      <c r="L8" s="8">
        <v>0.99480000000000002</v>
      </c>
      <c r="M8" s="5">
        <v>0.92</v>
      </c>
      <c r="N8" s="5">
        <v>0.93</v>
      </c>
      <c r="O8" s="5">
        <v>0.92</v>
      </c>
      <c r="P8" s="5">
        <v>0.92</v>
      </c>
      <c r="Q8" s="5">
        <v>0.75</v>
      </c>
      <c r="R8" s="5">
        <v>0.77</v>
      </c>
      <c r="S8" s="5">
        <v>0.75</v>
      </c>
      <c r="T8" s="5">
        <v>0.75</v>
      </c>
    </row>
    <row r="9" spans="1:20" ht="15.75" customHeight="1" x14ac:dyDescent="0.25">
      <c r="A9" s="4">
        <v>7</v>
      </c>
      <c r="B9" s="5" t="s">
        <v>14</v>
      </c>
      <c r="C9" s="5" t="s">
        <v>12</v>
      </c>
      <c r="D9" s="5" t="s">
        <v>10</v>
      </c>
      <c r="E9" s="5">
        <v>0.98</v>
      </c>
      <c r="F9" s="5">
        <v>0.33</v>
      </c>
      <c r="G9" s="5">
        <v>0.8</v>
      </c>
      <c r="H9" s="5">
        <v>0.41</v>
      </c>
      <c r="I9" s="7">
        <v>0.97170000000000001</v>
      </c>
      <c r="J9" s="8">
        <v>0.9718</v>
      </c>
      <c r="K9" s="8">
        <v>0.97170000000000001</v>
      </c>
      <c r="L9" s="8">
        <v>0.97170000000000001</v>
      </c>
      <c r="M9" s="5">
        <v>0.81</v>
      </c>
      <c r="N9" s="5">
        <v>0.77</v>
      </c>
      <c r="O9" s="5">
        <v>0.82</v>
      </c>
      <c r="P9" s="5">
        <v>0.77</v>
      </c>
      <c r="Q9" s="5">
        <v>0.99</v>
      </c>
      <c r="R9" s="5">
        <v>0.99</v>
      </c>
      <c r="S9" s="5">
        <v>0.99</v>
      </c>
      <c r="T9" s="5">
        <v>0.99</v>
      </c>
    </row>
    <row r="10" spans="1:20" ht="15.75" customHeight="1" x14ac:dyDescent="0.25">
      <c r="A10" s="4">
        <v>8</v>
      </c>
      <c r="B10" s="5" t="s">
        <v>14</v>
      </c>
      <c r="C10" s="5" t="s">
        <v>12</v>
      </c>
      <c r="D10" s="5" t="s">
        <v>12</v>
      </c>
      <c r="E10" s="5">
        <v>0.97</v>
      </c>
      <c r="F10" s="5">
        <v>0.98</v>
      </c>
      <c r="G10" s="5">
        <v>0.98</v>
      </c>
      <c r="H10" s="5">
        <v>0.98</v>
      </c>
      <c r="I10" s="7">
        <v>0.96940000000000004</v>
      </c>
      <c r="J10" s="8">
        <v>0.96970000000000001</v>
      </c>
      <c r="K10" s="8">
        <v>0.96940000000000004</v>
      </c>
      <c r="L10" s="8">
        <v>0.96940000000000004</v>
      </c>
      <c r="M10" s="5">
        <v>0.75</v>
      </c>
      <c r="N10" s="5">
        <v>0.8</v>
      </c>
      <c r="O10" s="5">
        <v>0.75</v>
      </c>
      <c r="P10" s="5">
        <v>0.74</v>
      </c>
      <c r="Q10" s="5">
        <v>0.59</v>
      </c>
      <c r="R10" s="5">
        <v>0.74</v>
      </c>
      <c r="S10" s="5">
        <v>0.59</v>
      </c>
      <c r="T10" s="5">
        <v>0.56999999999999995</v>
      </c>
    </row>
  </sheetData>
  <mergeCells count="4">
    <mergeCell ref="E1:H1"/>
    <mergeCell ref="I1:L1"/>
    <mergeCell ref="M1:P1"/>
    <mergeCell ref="Q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74"/>
  <sheetViews>
    <sheetView workbookViewId="0">
      <selection sqref="A1:B1"/>
    </sheetView>
  </sheetViews>
  <sheetFormatPr baseColWidth="10" defaultColWidth="12.5703125" defaultRowHeight="15.75" customHeight="1" x14ac:dyDescent="0.2"/>
  <cols>
    <col min="1" max="1" width="22.5703125" customWidth="1"/>
    <col min="2" max="2" width="20.5703125" customWidth="1"/>
    <col min="3" max="3" width="29.5703125" customWidth="1"/>
    <col min="4" max="4" width="39.28515625" customWidth="1"/>
    <col min="5" max="5" width="19.140625" customWidth="1"/>
  </cols>
  <sheetData>
    <row r="1" spans="1:11" x14ac:dyDescent="0.2">
      <c r="A1" s="15" t="s">
        <v>23</v>
      </c>
      <c r="B1" s="16"/>
    </row>
    <row r="2" spans="1:11" x14ac:dyDescent="0.2">
      <c r="A2" s="10"/>
      <c r="B2" s="10" t="s">
        <v>1</v>
      </c>
      <c r="C2" s="10" t="s">
        <v>11</v>
      </c>
      <c r="D2" s="10" t="s">
        <v>13</v>
      </c>
      <c r="E2" s="10" t="s">
        <v>15</v>
      </c>
      <c r="F2" s="9"/>
      <c r="H2" s="9"/>
      <c r="I2" s="9"/>
      <c r="K2" s="9"/>
    </row>
    <row r="3" spans="1:11" x14ac:dyDescent="0.2">
      <c r="A3" s="10" t="s">
        <v>24</v>
      </c>
      <c r="B3" s="11">
        <f>MAX(Supervisado!H3:H10)</f>
        <v>0.98</v>
      </c>
      <c r="C3" s="11">
        <f>MAX(Supervisado!L3:L10)</f>
        <v>0.99860000000000004</v>
      </c>
      <c r="D3" s="11">
        <f>MAX(Supervisado!P3:P10)</f>
        <v>0.92</v>
      </c>
      <c r="E3" s="11">
        <f>MAX(Supervisado!T3:T10)</f>
        <v>0.99</v>
      </c>
    </row>
    <row r="24" spans="1:5" x14ac:dyDescent="0.2">
      <c r="A24" s="10"/>
      <c r="B24" s="10" t="s">
        <v>1</v>
      </c>
      <c r="C24" s="10" t="s">
        <v>11</v>
      </c>
      <c r="D24" s="10" t="s">
        <v>13</v>
      </c>
      <c r="E24" s="10" t="s">
        <v>15</v>
      </c>
    </row>
    <row r="25" spans="1:5" x14ac:dyDescent="0.2">
      <c r="A25" s="10" t="s">
        <v>25</v>
      </c>
      <c r="B25" s="11">
        <f>AVERAGE(Supervisado!H3:H6)</f>
        <v>0.64999999999999991</v>
      </c>
      <c r="C25" s="11">
        <f>AVERAGE(Supervisado!L3:L6)</f>
        <v>0.98397500000000004</v>
      </c>
      <c r="D25" s="11">
        <f>AVERAGE(Supervisado!P3:P6)</f>
        <v>0.8175</v>
      </c>
      <c r="E25" s="11">
        <f>AVERAGE(Supervisado!T3:T6)</f>
        <v>0.82499999999999996</v>
      </c>
    </row>
    <row r="26" spans="1:5" x14ac:dyDescent="0.2">
      <c r="A26" s="10" t="s">
        <v>26</v>
      </c>
      <c r="B26" s="11">
        <f>AVERAGE(Supervisado!H7:H10)</f>
        <v>0.64500000000000002</v>
      </c>
      <c r="C26" s="11">
        <f>AVERAGE(Supervisado!L7:L10)</f>
        <v>0.98310000000000008</v>
      </c>
      <c r="D26" s="11">
        <f>AVERAGE(Supervisado!P7:P10)</f>
        <v>0.83000000000000007</v>
      </c>
      <c r="E26" s="11">
        <f>AVERAGE(Supervisado!T7:T10)</f>
        <v>0.82499999999999996</v>
      </c>
    </row>
    <row r="48" spans="1:5" x14ac:dyDescent="0.2">
      <c r="A48" s="10"/>
      <c r="B48" s="10" t="s">
        <v>1</v>
      </c>
      <c r="C48" s="10" t="s">
        <v>11</v>
      </c>
      <c r="D48" s="10" t="s">
        <v>13</v>
      </c>
      <c r="E48" s="10" t="s">
        <v>15</v>
      </c>
    </row>
    <row r="49" spans="1:5" x14ac:dyDescent="0.2">
      <c r="A49" s="10" t="s">
        <v>27</v>
      </c>
      <c r="B49" s="11">
        <f>AVERAGE(Supervisado!H3,Supervisado!H4,Supervisado!H7,Supervisado!H8)</f>
        <v>0.59749999999999992</v>
      </c>
      <c r="C49" s="11">
        <f>AVERAGE(Supervisado!L3,Supervisado!L4,Supervisado!L7,Supervisado!L8)</f>
        <v>0.99637500000000012</v>
      </c>
      <c r="D49" s="11">
        <f>AVERAGE(Supervisado!P3,Supervisado!P4,Supervisado!P7,Supervisado!P8)</f>
        <v>0.90500000000000003</v>
      </c>
      <c r="E49" s="11">
        <f>AVERAGE(Supervisado!T3,Supervisado!T4,Supervisado!T7,Supervisado!T8)</f>
        <v>0.87</v>
      </c>
    </row>
    <row r="50" spans="1:5" x14ac:dyDescent="0.2">
      <c r="A50" s="10" t="s">
        <v>28</v>
      </c>
      <c r="B50" s="11">
        <f>AVERAGE(Supervisado!H5,Supervisado!H6,Supervisado!H9,Supervisado!H10)</f>
        <v>0.69750000000000001</v>
      </c>
      <c r="C50" s="11">
        <f>AVERAGE(Supervisado!L5,Supervisado!L6,Supervisado!L9,Supervisado!L10)</f>
        <v>0.97070000000000012</v>
      </c>
      <c r="D50" s="11">
        <f>AVERAGE(Supervisado!P5,Supervisado!P6,Supervisado!P9,Supervisado!P10)</f>
        <v>0.74249999999999994</v>
      </c>
      <c r="E50" s="11">
        <f>AVERAGE(Supervisado!T5,Supervisado!T6,Supervisado!T9,Supervisado!T10)</f>
        <v>0.77999999999999992</v>
      </c>
    </row>
    <row r="72" spans="1:5" x14ac:dyDescent="0.2">
      <c r="A72" s="10"/>
      <c r="B72" s="10" t="s">
        <v>1</v>
      </c>
      <c r="C72" s="10" t="s">
        <v>11</v>
      </c>
      <c r="D72" s="10" t="s">
        <v>13</v>
      </c>
      <c r="E72" s="10" t="s">
        <v>15</v>
      </c>
    </row>
    <row r="73" spans="1:5" x14ac:dyDescent="0.2">
      <c r="A73" s="10" t="s">
        <v>29</v>
      </c>
      <c r="B73" s="11">
        <f>AVERAGE(Supervisado!H3,Supervisado!H5,Supervisado!H7,Supervisado!H9)</f>
        <v>0.3175</v>
      </c>
      <c r="C73" s="11">
        <f>AVERAGE(Supervisado!L3,Supervisado!L5,Supervisado!L7,Supervisado!L9)</f>
        <v>0.98380000000000001</v>
      </c>
      <c r="D73" s="11">
        <f>AVERAGE(Supervisado!P3,Supervisado!P5,Supervisado!P7,Supervisado!P9)</f>
        <v>0.83000000000000007</v>
      </c>
      <c r="E73" s="11">
        <f>AVERAGE(Supervisado!T3,Supervisado!T5,Supervisado!T7,Supervisado!T9)</f>
        <v>0.99</v>
      </c>
    </row>
    <row r="74" spans="1:5" x14ac:dyDescent="0.2">
      <c r="A74" s="10" t="s">
        <v>30</v>
      </c>
      <c r="B74" s="11">
        <f>AVERAGE(Supervisado!H4,Supervisado!H6,Supervisado!H8,Supervisado!H10)</f>
        <v>0.97749999999999992</v>
      </c>
      <c r="C74" s="11">
        <f>AVERAGE(Supervisado!L4,Supervisado!L6,Supervisado!L8,Supervisado!L10)</f>
        <v>0.98327500000000012</v>
      </c>
      <c r="D74" s="11">
        <f>AVERAGE(Supervisado!P4,Supervisado!P6,Supervisado!P8,Supervisado!P10)</f>
        <v>0.81749999999999989</v>
      </c>
      <c r="E74" s="11">
        <f>AVERAGE(Supervisado!T4,Supervisado!T6,Supervisado!T8,Supervisado!T10)</f>
        <v>0.65999999999999992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0"/>
  <sheetViews>
    <sheetView workbookViewId="0"/>
  </sheetViews>
  <sheetFormatPr baseColWidth="10" defaultColWidth="12.5703125" defaultRowHeight="15.75" customHeight="1" x14ac:dyDescent="0.2"/>
  <cols>
    <col min="5" max="5" width="26.140625" customWidth="1"/>
    <col min="6" max="6" width="20.42578125" customWidth="1"/>
    <col min="7" max="7" width="18.5703125" customWidth="1"/>
  </cols>
  <sheetData>
    <row r="1" spans="1:7" x14ac:dyDescent="0.2">
      <c r="E1" s="17" t="s">
        <v>0</v>
      </c>
      <c r="F1" s="18"/>
      <c r="G1" s="1" t="s">
        <v>2</v>
      </c>
    </row>
    <row r="2" spans="1:7" x14ac:dyDescent="0.2">
      <c r="A2" s="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3" t="s">
        <v>8</v>
      </c>
      <c r="G2" s="3" t="s">
        <v>8</v>
      </c>
    </row>
    <row r="3" spans="1:7" ht="15.75" customHeight="1" x14ac:dyDescent="0.25">
      <c r="A3" s="4">
        <v>1</v>
      </c>
      <c r="B3" s="5" t="s">
        <v>9</v>
      </c>
      <c r="C3" s="5" t="s">
        <v>10</v>
      </c>
      <c r="D3" s="5" t="s">
        <v>10</v>
      </c>
      <c r="E3" s="6">
        <v>319839445949048</v>
      </c>
      <c r="F3" s="6">
        <v>0.61551368749309399</v>
      </c>
      <c r="G3" s="6">
        <v>0.74179098644061003</v>
      </c>
    </row>
    <row r="4" spans="1:7" ht="15.75" customHeight="1" x14ac:dyDescent="0.25">
      <c r="A4" s="4">
        <v>2</v>
      </c>
      <c r="B4" s="5" t="s">
        <v>9</v>
      </c>
      <c r="C4" s="5" t="s">
        <v>10</v>
      </c>
      <c r="D4" s="5" t="s">
        <v>12</v>
      </c>
      <c r="E4" s="6">
        <v>161479584765451</v>
      </c>
      <c r="F4" s="6">
        <v>0.80013333117233099</v>
      </c>
      <c r="G4" s="6">
        <v>0.463731804180468</v>
      </c>
    </row>
    <row r="5" spans="1:7" ht="15.75" customHeight="1" x14ac:dyDescent="0.25">
      <c r="A5" s="4">
        <v>3</v>
      </c>
      <c r="B5" s="5" t="s">
        <v>9</v>
      </c>
      <c r="C5" s="5" t="s">
        <v>12</v>
      </c>
      <c r="D5" s="5" t="s">
        <v>10</v>
      </c>
      <c r="E5" s="6">
        <v>1.0427044810939E+32</v>
      </c>
      <c r="F5" s="6">
        <v>0.80758028272261495</v>
      </c>
      <c r="G5" s="6">
        <v>0.57371179692657204</v>
      </c>
    </row>
    <row r="6" spans="1:7" ht="15.75" customHeight="1" x14ac:dyDescent="0.25">
      <c r="A6" s="4">
        <v>4</v>
      </c>
      <c r="B6" s="5" t="s">
        <v>9</v>
      </c>
      <c r="C6" s="5" t="s">
        <v>12</v>
      </c>
      <c r="D6" s="5" t="s">
        <v>12</v>
      </c>
      <c r="E6" s="6">
        <v>3.01691048680302E+16</v>
      </c>
      <c r="F6" s="6">
        <v>0.84364116126839594</v>
      </c>
      <c r="G6" s="6">
        <v>0.68119745050524905</v>
      </c>
    </row>
    <row r="7" spans="1:7" ht="15.75" customHeight="1" x14ac:dyDescent="0.25">
      <c r="A7" s="4">
        <v>5</v>
      </c>
      <c r="B7" s="5" t="s">
        <v>14</v>
      </c>
      <c r="C7" s="5" t="s">
        <v>10</v>
      </c>
      <c r="D7" s="5" t="s">
        <v>10</v>
      </c>
      <c r="E7" s="6">
        <v>26996.7424437359</v>
      </c>
      <c r="F7" s="6">
        <v>0.69986343328546696</v>
      </c>
      <c r="G7" s="6">
        <v>0.85963160736388</v>
      </c>
    </row>
    <row r="8" spans="1:7" ht="15.75" customHeight="1" x14ac:dyDescent="0.25">
      <c r="A8" s="4">
        <v>6</v>
      </c>
      <c r="B8" s="5" t="s">
        <v>14</v>
      </c>
      <c r="C8" s="5" t="s">
        <v>10</v>
      </c>
      <c r="D8" s="5" t="s">
        <v>12</v>
      </c>
      <c r="E8" s="6">
        <v>149.964658027583</v>
      </c>
      <c r="F8" s="6">
        <v>0.88777326124629996</v>
      </c>
      <c r="G8" s="6">
        <v>0.80686276023346104</v>
      </c>
    </row>
    <row r="9" spans="1:7" ht="15.75" customHeight="1" x14ac:dyDescent="0.25">
      <c r="A9" s="4">
        <v>7</v>
      </c>
      <c r="B9" s="5" t="s">
        <v>14</v>
      </c>
      <c r="C9" s="5" t="s">
        <v>12</v>
      </c>
      <c r="D9" s="5" t="s">
        <v>10</v>
      </c>
      <c r="E9" s="6">
        <v>26996.7424437359</v>
      </c>
      <c r="F9" s="6">
        <v>0.69986343328546696</v>
      </c>
      <c r="G9" s="6">
        <v>0.52330812048736297</v>
      </c>
    </row>
    <row r="10" spans="1:7" ht="15.75" customHeight="1" x14ac:dyDescent="0.25">
      <c r="A10" s="4">
        <v>8</v>
      </c>
      <c r="B10" s="5" t="s">
        <v>14</v>
      </c>
      <c r="C10" s="5" t="s">
        <v>12</v>
      </c>
      <c r="D10" s="5" t="s">
        <v>12</v>
      </c>
      <c r="E10" s="6">
        <v>13132.9611495257</v>
      </c>
      <c r="F10" s="6">
        <v>0.71656918709360296</v>
      </c>
      <c r="G10" s="6">
        <v>0.27473249955129297</v>
      </c>
    </row>
  </sheetData>
  <mergeCells count="1"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Supervisado</vt:lpstr>
      <vt:lpstr>graficas supervisado</vt:lpstr>
      <vt:lpstr>NO SUPERVISADO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Pablo</cp:lastModifiedBy>
  <dcterms:modified xsi:type="dcterms:W3CDTF">2026-10-27T19:19:06Z</dcterms:modified>
</cp:coreProperties>
</file>